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\Desktop\"/>
    </mc:Choice>
  </mc:AlternateContent>
  <xr:revisionPtr revIDLastSave="0" documentId="13_ncr:1_{A3F777AF-DB3D-4BF8-BBC6-5B81E69B282B}" xr6:coauthVersionLast="47" xr6:coauthVersionMax="47" xr10:uidLastSave="{00000000-0000-0000-0000-000000000000}"/>
  <bookViews>
    <workbookView xWindow="-110" yWindow="-110" windowWidth="19420" windowHeight="10420" xr2:uid="{00C91504-BF96-458C-AF1E-392BDF938D13}"/>
  </bookViews>
  <sheets>
    <sheet name="TITULAR" sheetId="1" r:id="rId1"/>
    <sheet name="INFORMES" sheetId="2" r:id="rId2"/>
    <sheet name="NOTAS" sheetId="3" r:id="rId3"/>
    <sheet name="APO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<sst xmlns="http://schemas.openxmlformats.org/spreadsheetml/2006/main" count="124" uniqueCount="98">
  <si>
    <t>102 - XP Investimentos CCTVM S.A.</t>
  </si>
  <si>
    <t>104 - Caixa Econômica Federal</t>
  </si>
  <si>
    <t>208 - Banco BTG Pactual</t>
  </si>
  <si>
    <t>241 - Banco Clássico</t>
  </si>
  <si>
    <t>376 - Banco JPMorgan S.A.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</si>
  <si>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</si>
  <si>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</si>
  <si>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</si>
  <si>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</si>
  <si>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</si>
  <si>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</si>
  <si>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</si>
  <si>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</si>
  <si>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</si>
  <si>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</si>
  <si>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</si>
  <si>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</si>
  <si>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</si>
  <si>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</si>
  <si>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</si>
  <si>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</si>
  <si>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</si>
  <si>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</si>
  <si>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</si>
  <si>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DADOS DO TITULAR</t>
  </si>
  <si>
    <t>preencha os dados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</si>
  <si>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</si>
  <si>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</si>
  <si>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</si>
  <si>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</si>
  <si>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</si>
  <si>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</si>
  <si>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</si>
  <si>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</si>
  <si>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</si>
  <si>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</si>
  <si>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</si>
  <si>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</si>
  <si>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</si>
  <si>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</si>
  <si>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</si>
  <si>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</si>
  <si>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999.999.999-99</t>
  </si>
  <si>
    <t>Ivan Ivanovich</t>
  </si>
  <si>
    <t>999 999 999 99</t>
  </si>
  <si>
    <t>Valentina Ivanovna Gagarina</t>
  </si>
  <si>
    <t>Rua Apeninos</t>
  </si>
  <si>
    <t>01533-000</t>
  </si>
  <si>
    <t>teste@teste.com.br</t>
  </si>
  <si>
    <t>2. INFORMES DE RENDIMENTOS BANCÁRIOS</t>
  </si>
  <si>
    <t>preencha com seus dados atuais de cada banco</t>
  </si>
  <si>
    <t>TOTAL</t>
  </si>
  <si>
    <t>1º Banco</t>
  </si>
  <si>
    <t>BANCO</t>
  </si>
  <si>
    <t>VALOR ATUAL</t>
  </si>
  <si>
    <t>ANEXO 📎</t>
  </si>
  <si>
    <t>2º Banco</t>
  </si>
  <si>
    <t>3º Banco</t>
  </si>
  <si>
    <t>btg_2026.pdf</t>
  </si>
  <si>
    <t>jpmorgan_2026.pdf</t>
  </si>
  <si>
    <t>classico_2026.pdf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</si>
  <si>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</si>
  <si>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</si>
  <si>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</si>
  <si>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</si>
  <si>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</si>
  <si>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</si>
  <si>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</si>
  <si>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FREELANCE</t>
  </si>
  <si>
    <t>001 - Banco do Brasil S.A.</t>
  </si>
  <si>
    <t>033 - Banco Santander (Brasil) S.A.</t>
  </si>
  <si>
    <t>237 - Banco Bradesco S.A.</t>
  </si>
  <si>
    <t>341 - Itaú Unibanco S.A.</t>
  </si>
  <si>
    <t>077 - Banco Inter S.A.</t>
  </si>
  <si>
    <t>260 - Nu Pagamentos S.A. (Nubank)</t>
  </si>
  <si>
    <t>212 - Banco Original S.A.</t>
  </si>
  <si>
    <t>655 - Banco Votorantim S.A. (Banco BV)</t>
  </si>
  <si>
    <t>336 - C2 Payment Solutions (C6 Bank)</t>
  </si>
  <si>
    <t>290 - Pagseguro Internet S.A. (PagBank)</t>
  </si>
  <si>
    <t>380 - PicPay Serviços S.A.</t>
  </si>
  <si>
    <t>323 - Mercado Pago I.P. Ltda.</t>
  </si>
  <si>
    <t>070 - BRB - Banco de Brasília S.A.</t>
  </si>
  <si>
    <t>041 - Banco do Estado do Rio Grande do Sul S.A. (Banrisul)</t>
  </si>
  <si>
    <t>756 - Banco Cooperativo Sicoob S.A.</t>
  </si>
  <si>
    <t>119 - Banco Western Union do Brasil S.A.</t>
  </si>
  <si>
    <t>047 - Banco Banco do Estado de Sergipe S.A. (Banese)</t>
  </si>
  <si>
    <t>021 - Banco Banestes S.A.</t>
  </si>
  <si>
    <t>037 - Banco do Estado do Pará S.A. (Banpará)</t>
  </si>
  <si>
    <t>004 - Banco do Nordeste do Brasil S.A.</t>
  </si>
  <si>
    <t>023 - Banco BMG S.A.</t>
  </si>
  <si>
    <t>637 - Banco BTG Pactual S.A.</t>
  </si>
  <si>
    <t>652 - Itaú Unibanco Holding S.A.</t>
  </si>
  <si>
    <t>422 - Banco Safra S.A.</t>
  </si>
  <si>
    <t>074 - Banco J.P. Morgan S.A.</t>
  </si>
  <si>
    <t>121 - Banco Agibank S.A.</t>
  </si>
  <si>
    <t>208 - Banco BTG Pactual S.A.</t>
  </si>
  <si>
    <t>633 - Banco Rendimento S.A.</t>
  </si>
  <si>
    <t>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</si>
</sst>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00&quot;.&quot;000&quot;.&quot;000&quot;-&quot;00"/>
    <numFmt numFmtId="169" formatCode="0000&quot; &quot;0000&quot; &quot;0000"/>
    <numFmt numFmtId="170" formatCode="00000\-000"/>
    <numFmt numFmtId="171" formatCode="&quot;(&quot;00&quot;)&quot;0000&quot;-&quot;0000"/>
    <numFmt numFmtId="172" formatCode="&quot;(&quot;00&quot;)&quot;00000&quot;-&quot;0000"/>
    <numFmt numFmtId="177" formatCode="&quot;R$&quot;\ #,##0.00"/>
    <numFmt numFmtId="178" formatCode="mmmm/yyyy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666600"/>
      <name val="Calibri"/>
      <family val="2"/>
      <scheme val="minor"/>
    </font>
    <font>
      <i/>
      <sz val="11"/>
      <color rgb="FF666600"/>
      <name val="Calibri"/>
      <family val="2"/>
      <scheme val="minor"/>
    </font>
    <font>
      <sz val="11"/>
      <color rgb="FF666600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rgb="FF666600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6D6"/>
        <bgColor indexed="64"/>
      </patternFill>
    </fill>
    <fill>
      <patternFill patternType="solid">
        <fgColor rgb="FFF5B8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F5B800"/>
      </bottom>
      <diagonal/>
    </border>
    <border>
      <left/>
      <right/>
      <top style="thick">
        <color rgb="FFF5B800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rgb="FF66660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4" fillId="0" borderId="2" xfId="1" applyFont="1" applyBorder="1"/>
    <xf numFmtId="0" fontId="1" fillId="0" borderId="2" xfId="1" applyBorder="1"/>
    <xf numFmtId="0" fontId="5" fillId="3" borderId="3" xfId="0" applyFont="1" applyFill="1" applyBorder="1" applyAlignment="1">
      <alignment horizontal="left" vertical="center" indent="3"/>
    </xf>
    <xf numFmtId="0" fontId="6" fillId="3" borderId="3" xfId="0" applyFont="1" applyFill="1" applyBorder="1" applyAlignment="1">
      <alignment horizontal="left" vertical="center" indent="3"/>
    </xf>
    <xf numFmtId="0" fontId="7" fillId="0" borderId="4" xfId="0" applyFont="1" applyBorder="1" applyAlignment="1">
      <alignment horizontal="right"/>
    </xf>
    <xf numFmtId="0" fontId="2" fillId="2" borderId="4" xfId="2" applyBorder="1" applyAlignment="1" applyProtection="1">
      <alignment horizontal="left"/>
      <protection locked="0"/>
    </xf>
    <xf numFmtId="168" fontId="2" fillId="2" borderId="4" xfId="2" applyNumberFormat="1" applyBorder="1" applyAlignment="1" applyProtection="1">
      <alignment horizontal="left"/>
      <protection locked="0"/>
    </xf>
    <xf numFmtId="14" fontId="2" fillId="2" borderId="4" xfId="2" applyNumberFormat="1" applyBorder="1" applyAlignment="1" applyProtection="1">
      <alignment horizontal="left"/>
      <protection locked="0"/>
    </xf>
    <xf numFmtId="169" fontId="2" fillId="2" borderId="4" xfId="2" applyNumberFormat="1" applyBorder="1" applyAlignment="1" applyProtection="1">
      <alignment horizontal="left"/>
      <protection locked="0"/>
    </xf>
    <xf numFmtId="170" fontId="2" fillId="2" borderId="4" xfId="2" applyNumberFormat="1" applyBorder="1" applyAlignment="1" applyProtection="1">
      <alignment horizontal="left"/>
      <protection locked="0"/>
    </xf>
    <xf numFmtId="171" fontId="2" fillId="2" borderId="4" xfId="2" applyNumberFormat="1" applyBorder="1" applyAlignment="1" applyProtection="1">
      <alignment horizontal="left"/>
      <protection locked="0"/>
    </xf>
    <xf numFmtId="172" fontId="2" fillId="2" borderId="4" xfId="2" applyNumberFormat="1" applyBorder="1" applyAlignment="1" applyProtection="1">
      <alignment horizontal="left"/>
      <protection locked="0"/>
    </xf>
    <xf numFmtId="0" fontId="3" fillId="2" borderId="4" xfId="3" applyFill="1" applyBorder="1" applyAlignment="1" applyProtection="1">
      <alignment horizontal="left"/>
      <protection locked="0"/>
    </xf>
    <xf numFmtId="0" fontId="8" fillId="0" borderId="0" xfId="0" applyFont="1"/>
    <xf numFmtId="177" fontId="9" fillId="2" borderId="0" xfId="2" applyNumberFormat="1" applyFont="1" applyAlignment="1">
      <alignment horizontal="center" vertical="center"/>
    </xf>
    <xf numFmtId="0" fontId="9" fillId="2" borderId="0" xfId="2" applyFont="1" applyAlignment="1">
      <alignment horizontal="center" vertical="center"/>
    </xf>
    <xf numFmtId="0" fontId="10" fillId="0" borderId="0" xfId="0" applyFont="1"/>
    <xf numFmtId="177" fontId="2" fillId="2" borderId="4" xfId="2" applyNumberFormat="1" applyBorder="1" applyAlignment="1" applyProtection="1">
      <alignment horizontal="left"/>
      <protection locked="0"/>
    </xf>
    <xf numFmtId="0" fontId="11" fillId="4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78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7" fontId="14" fillId="0" borderId="0" xfId="0" applyNumberFormat="1" applyFont="1" applyAlignment="1" applyProtection="1">
      <alignment horizontal="center"/>
      <protection locked="0"/>
    </xf>
    <xf numFmtId="17" fontId="14" fillId="0" borderId="0" xfId="0" applyNumberFormat="1" applyFont="1" applyAlignment="1" applyProtection="1">
      <alignment horizontal="center"/>
      <protection locked="0"/>
    </xf>
    <xf numFmtId="0" fontId="0" fillId="5" borderId="0" xfId="0" applyFill="1"/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1.png"/><Relationship Id="rId1" Type="http://schemas.openxmlformats.org/officeDocument/2006/relationships/hyperlink" Target="#NOTAS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anielbins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anielbins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image" Target="../media/image1.png"/><Relationship Id="rId1" Type="http://schemas.openxmlformats.org/officeDocument/2006/relationships/hyperlink" Target="#INFORMES!C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danielbin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876300</xdr:colOff>
      <xdr:row>19</xdr:row>
      <xdr:rowOff>165100</xdr:rowOff>
    </xdr:from>
    <xdr:to>
      <xdr:col>3</xdr:col>
      <xdr:colOff>1181100</xdr:colOff>
      <xdr:row>22</xdr:row>
      <xdr:rowOff>19050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C8F19-67A8-491A-B776-D612081A75B6}"/>
            </a:ext>
          </a:extLst>
        </xdr:cNvPr>
        <xdr:cNvSpPr/>
      </xdr:nvSpPr>
      <xdr:spPr>
        <a:xfrm>
          <a:off x="3530600" y="4095750"/>
          <a:ext cx="3175000" cy="40640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6666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>
    <xdr:from>
      <xdr:col>0</xdr:col>
      <xdr:colOff>24230</xdr:colOff>
      <xdr:row>0</xdr:row>
      <xdr:rowOff>0</xdr:rowOff>
    </xdr:from>
    <xdr:to>
      <xdr:col>0</xdr:col>
      <xdr:colOff>1804987</xdr:colOff>
      <xdr:row>24</xdr:row>
      <xdr:rowOff>73024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235398C-E1E0-4752-A30B-0B1F60257F9B}"/>
            </a:ext>
          </a:extLst>
        </xdr:cNvPr>
        <xdr:cNvGrpSpPr/>
      </xdr:nvGrpSpPr>
      <xdr:grpSpPr>
        <a:xfrm>
          <a:off x="24230" y="0"/>
          <a:ext cx="1780757" cy="4924424"/>
          <a:chOff x="24230" y="0"/>
          <a:chExt cx="1780757" cy="4924424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EABFF760-E63D-4203-A963-DE22240E2283}"/>
              </a:ext>
            </a:extLst>
          </xdr:cNvPr>
          <xdr:cNvSpPr/>
        </xdr:nvSpPr>
        <xdr:spPr>
          <a:xfrm>
            <a:off x="24230" y="0"/>
            <a:ext cx="1704975" cy="736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0" baseline="0">
                <a:gradFill flip="none" rotWithShape="1">
                  <a:gsLst>
                    <a:gs pos="0">
                      <a:schemeClr val="accent4">
                        <a:lumMod val="40000"/>
                        <a:lumOff val="60000"/>
                      </a:schemeClr>
                    </a:gs>
                    <a:gs pos="46000">
                      <a:schemeClr val="accent4">
                        <a:lumMod val="95000"/>
                        <a:lumOff val="5000"/>
                      </a:schemeClr>
                    </a:gs>
                    <a:gs pos="100000">
                      <a:schemeClr val="accent4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latin typeface="Aptos Black" panose="020B0004020202020204" pitchFamily="34" charset="0"/>
              </a:rPr>
              <a:t>IMPOSTO DE RENDA</a:t>
            </a:r>
            <a:endParaRPr lang="pt-BR" sz="2000" b="0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ptos Black" panose="020B0004020202020204" pitchFamily="34" charset="0"/>
            </a:endParaRPr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078DE0D1-9660-4C4F-9C92-D3F83BA3282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08380" y="650875"/>
            <a:ext cx="1336675" cy="1336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Retângulo: Cantos Arredondado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D13DF93-CA18-405D-8ACF-D25DF6718FF7}"/>
              </a:ext>
            </a:extLst>
          </xdr:cNvPr>
          <xdr:cNvSpPr/>
        </xdr:nvSpPr>
        <xdr:spPr>
          <a:xfrm>
            <a:off x="52387" y="2139951"/>
            <a:ext cx="1752600" cy="41910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TITULAR</a:t>
            </a: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4DD1290-3EEF-4341-9FD4-43D1197F3AAA}"/>
              </a:ext>
            </a:extLst>
          </xdr:cNvPr>
          <xdr:cNvSpPr/>
        </xdr:nvSpPr>
        <xdr:spPr>
          <a:xfrm>
            <a:off x="52387" y="2640014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INFORMES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160C073-D33D-409B-B7B3-5655A4EAC98D}"/>
              </a:ext>
            </a:extLst>
          </xdr:cNvPr>
          <xdr:cNvSpPr/>
        </xdr:nvSpPr>
        <xdr:spPr>
          <a:xfrm>
            <a:off x="52387" y="3140076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NOTAS</a:t>
            </a: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A02F1ABD-AD14-4A5B-A39A-37B2F8171AFD}"/>
              </a:ext>
            </a:extLst>
          </xdr:cNvPr>
          <xdr:cNvCxnSpPr/>
        </xdr:nvCxnSpPr>
        <xdr:spPr>
          <a:xfrm>
            <a:off x="171450" y="3987800"/>
            <a:ext cx="1466850" cy="0"/>
          </a:xfrm>
          <a:prstGeom prst="line">
            <a:avLst/>
          </a:prstGeom>
          <a:ln w="12700">
            <a:solidFill>
              <a:srgbClr val="F5B8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0" name="icon_link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29E5E3-AAFB-47ED-A294-8BD4359CA6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7225" y="4371975"/>
            <a:ext cx="571499" cy="5524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57150</xdr:colOff>
      <xdr:row>23</xdr:row>
      <xdr:rowOff>0</xdr:rowOff>
    </xdr:from>
    <xdr:to>
      <xdr:col>3</xdr:col>
      <xdr:colOff>260350</xdr:colOff>
      <xdr:row>25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24D38-33D5-4D93-B743-F0682877A930}"/>
            </a:ext>
          </a:extLst>
        </xdr:cNvPr>
        <xdr:cNvSpPr/>
      </xdr:nvSpPr>
      <xdr:spPr>
        <a:xfrm>
          <a:off x="2603500" y="4578350"/>
          <a:ext cx="1828800" cy="40640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6666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3</xdr:col>
      <xdr:colOff>1295400</xdr:colOff>
      <xdr:row>23</xdr:row>
      <xdr:rowOff>6350</xdr:rowOff>
    </xdr:from>
    <xdr:to>
      <xdr:col>3</xdr:col>
      <xdr:colOff>3409950</xdr:colOff>
      <xdr:row>25</xdr:row>
      <xdr:rowOff>44450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FE3921-D779-4C35-8034-DA011FBAC081}"/>
            </a:ext>
          </a:extLst>
        </xdr:cNvPr>
        <xdr:cNvSpPr/>
      </xdr:nvSpPr>
      <xdr:spPr>
        <a:xfrm>
          <a:off x="5467350" y="4584700"/>
          <a:ext cx="2114550" cy="40640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6666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1780757</xdr:colOff>
      <xdr:row>24</xdr:row>
      <xdr:rowOff>161924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758B30BA-1C25-4D1B-BBA8-F2D85F7195DB}"/>
            </a:ext>
          </a:extLst>
        </xdr:cNvPr>
        <xdr:cNvGrpSpPr/>
      </xdr:nvGrpSpPr>
      <xdr:grpSpPr>
        <a:xfrm>
          <a:off x="0" y="0"/>
          <a:ext cx="1780757" cy="4924424"/>
          <a:chOff x="24230" y="0"/>
          <a:chExt cx="1780757" cy="4924424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4AFC02E1-AC9E-446B-948A-8E42B1D1DB04}"/>
              </a:ext>
            </a:extLst>
          </xdr:cNvPr>
          <xdr:cNvSpPr/>
        </xdr:nvSpPr>
        <xdr:spPr>
          <a:xfrm>
            <a:off x="24230" y="0"/>
            <a:ext cx="1704975" cy="736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0" baseline="0">
                <a:gradFill flip="none" rotWithShape="1">
                  <a:gsLst>
                    <a:gs pos="0">
                      <a:schemeClr val="accent4">
                        <a:lumMod val="40000"/>
                        <a:lumOff val="60000"/>
                      </a:schemeClr>
                    </a:gs>
                    <a:gs pos="46000">
                      <a:schemeClr val="accent4">
                        <a:lumMod val="95000"/>
                        <a:lumOff val="5000"/>
                      </a:schemeClr>
                    </a:gs>
                    <a:gs pos="100000">
                      <a:schemeClr val="accent4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latin typeface="Aptos Black" panose="020B0004020202020204" pitchFamily="34" charset="0"/>
              </a:rPr>
              <a:t>IMPOSTO DE RENDA</a:t>
            </a:r>
            <a:endParaRPr lang="pt-BR" sz="2000" b="0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ptos Black" panose="020B0004020202020204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B25C48AD-B18C-4E83-8AD6-9DEABB07D3E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08380" y="650875"/>
            <a:ext cx="1336675" cy="1336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Retângulo: Cantos Arredondados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CD98BDD-B0C9-4A64-A8D9-049845D9DC62}"/>
              </a:ext>
            </a:extLst>
          </xdr:cNvPr>
          <xdr:cNvSpPr/>
        </xdr:nvSpPr>
        <xdr:spPr>
          <a:xfrm>
            <a:off x="52387" y="2578101"/>
            <a:ext cx="1752600" cy="41910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INFORMES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10835E7-16FC-4241-91D1-68219B4D6510}"/>
              </a:ext>
            </a:extLst>
          </xdr:cNvPr>
          <xdr:cNvSpPr/>
        </xdr:nvSpPr>
        <xdr:spPr>
          <a:xfrm>
            <a:off x="52387" y="2081214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TITULAR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2319A78-7EF8-4AD5-B34B-95CAD6EC2B3B}"/>
              </a:ext>
            </a:extLst>
          </xdr:cNvPr>
          <xdr:cNvSpPr/>
        </xdr:nvSpPr>
        <xdr:spPr>
          <a:xfrm>
            <a:off x="52387" y="3140076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NOTAS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C44FDE62-023F-425C-8EF9-280B4E496178}"/>
              </a:ext>
            </a:extLst>
          </xdr:cNvPr>
          <xdr:cNvCxnSpPr/>
        </xdr:nvCxnSpPr>
        <xdr:spPr>
          <a:xfrm>
            <a:off x="171450" y="3987800"/>
            <a:ext cx="1466850" cy="0"/>
          </a:xfrm>
          <a:prstGeom prst="line">
            <a:avLst/>
          </a:prstGeom>
          <a:ln w="12700">
            <a:solidFill>
              <a:srgbClr val="F5B8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1" name="icon_link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829BD04-63AB-495D-8C5B-1C7C79544AC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7225" y="4371975"/>
            <a:ext cx="571499" cy="5524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603250</xdr:colOff>
      <xdr:row>4</xdr:row>
      <xdr:rowOff>76200</xdr:rowOff>
    </xdr:from>
    <xdr:to>
      <xdr:col>2</xdr:col>
      <xdr:colOff>1431925</xdr:colOff>
      <xdr:row>5</xdr:row>
      <xdr:rowOff>104775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08E501-3634-41E6-AB61-C014786113C1}"/>
            </a:ext>
          </a:extLst>
        </xdr:cNvPr>
        <xdr:cNvSpPr/>
      </xdr:nvSpPr>
      <xdr:spPr>
        <a:xfrm>
          <a:off x="2559050" y="889000"/>
          <a:ext cx="1438275" cy="21272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6666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  <xdr:twoCellAnchor>
    <xdr:from>
      <xdr:col>0</xdr:col>
      <xdr:colOff>82550</xdr:colOff>
      <xdr:row>0</xdr:row>
      <xdr:rowOff>63500</xdr:rowOff>
    </xdr:from>
    <xdr:to>
      <xdr:col>0</xdr:col>
      <xdr:colOff>1863307</xdr:colOff>
      <xdr:row>24</xdr:row>
      <xdr:rowOff>34924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F2F54CB3-F9E9-45F7-9743-B87E3BFF833B}"/>
            </a:ext>
          </a:extLst>
        </xdr:cNvPr>
        <xdr:cNvGrpSpPr/>
      </xdr:nvGrpSpPr>
      <xdr:grpSpPr>
        <a:xfrm>
          <a:off x="82550" y="63500"/>
          <a:ext cx="1780757" cy="4924424"/>
          <a:chOff x="24230" y="0"/>
          <a:chExt cx="1780757" cy="4924424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286AAEC5-0B88-4DEB-B5FA-84A87638E2B0}"/>
              </a:ext>
            </a:extLst>
          </xdr:cNvPr>
          <xdr:cNvSpPr/>
        </xdr:nvSpPr>
        <xdr:spPr>
          <a:xfrm>
            <a:off x="24230" y="0"/>
            <a:ext cx="1704975" cy="736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0" baseline="0">
                <a:gradFill flip="none" rotWithShape="1">
                  <a:gsLst>
                    <a:gs pos="0">
                      <a:schemeClr val="accent4">
                        <a:lumMod val="40000"/>
                        <a:lumOff val="60000"/>
                      </a:schemeClr>
                    </a:gs>
                    <a:gs pos="46000">
                      <a:schemeClr val="accent4">
                        <a:lumMod val="95000"/>
                        <a:lumOff val="5000"/>
                      </a:schemeClr>
                    </a:gs>
                    <a:gs pos="100000">
                      <a:schemeClr val="accent4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latin typeface="Aptos Black" panose="020B0004020202020204" pitchFamily="34" charset="0"/>
              </a:rPr>
              <a:t>IMPOSTO DE RENDA</a:t>
            </a:r>
            <a:endParaRPr lang="pt-BR" sz="2000" b="0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ptos Black" panose="020B0004020202020204" pitchFamily="34" charset="0"/>
            </a:endParaRP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7DC03C12-BDE9-4F9B-9DA1-0BB2B3FBB6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08380" y="650875"/>
            <a:ext cx="1336675" cy="1336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Retângulo: Cantos Arredondado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B57D76D-1E6B-4434-BCB2-1DF2C87D645A}"/>
              </a:ext>
            </a:extLst>
          </xdr:cNvPr>
          <xdr:cNvSpPr/>
        </xdr:nvSpPr>
        <xdr:spPr>
          <a:xfrm>
            <a:off x="52387" y="3130551"/>
            <a:ext cx="1752600" cy="41910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NOTAS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162084B-94FC-405A-A1C9-8564AF83E488}"/>
              </a:ext>
            </a:extLst>
          </xdr:cNvPr>
          <xdr:cNvSpPr/>
        </xdr:nvSpPr>
        <xdr:spPr>
          <a:xfrm>
            <a:off x="52387" y="2640014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INFORMES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3BC1461-5254-42AA-BBA0-2A7C9B09872D}"/>
              </a:ext>
            </a:extLst>
          </xdr:cNvPr>
          <xdr:cNvSpPr/>
        </xdr:nvSpPr>
        <xdr:spPr>
          <a:xfrm>
            <a:off x="52387" y="2149476"/>
            <a:ext cx="1752600" cy="419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NOTAS</a:t>
            </a: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66D6B1D8-A479-47A0-82D9-58A7FA6173A6}"/>
              </a:ext>
            </a:extLst>
          </xdr:cNvPr>
          <xdr:cNvCxnSpPr/>
        </xdr:nvCxnSpPr>
        <xdr:spPr>
          <a:xfrm>
            <a:off x="171450" y="3987800"/>
            <a:ext cx="1466850" cy="0"/>
          </a:xfrm>
          <a:prstGeom prst="line">
            <a:avLst/>
          </a:prstGeom>
          <a:ln w="12700">
            <a:solidFill>
              <a:srgbClr val="F5B8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0" name="icon_link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210E5A2-9811-46B9-9F2E-BEC9C8C684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7225" y="4371975"/>
            <a:ext cx="571499" cy="5524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229BC-811E-4BAC-BF61-FF2C3E464A90}" name="Tabela1" displayName="Tabela1" ref="C8:E27" totalsRowShown="0" dataDxfId="3">
  <autoFilter ref="C8:E27" xr:uid="{6F6229BC-811E-4BAC-BF61-FF2C3E464A90}"/>
  <tableColumns count="3">
    <tableColumn id="1" xr3:uid="{C8076FF6-2E2F-43F3-82A2-A9889E691D9C}" name="DATA" dataDxfId="2"/>
    <tableColumn id="2" xr3:uid="{030F8FC2-3622-4888-B8AE-DD0D75EDDB88}" name="CATEGORIA" dataDxfId="1"/>
    <tableColumn id="3" xr3:uid="{362133B3-CC95-4A4C-A8C5-F8F5B11FA2C6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teste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8C04-470E-4A24-BB37-CD0A6DF28AB2}">
  <dimension ref="A1:E23"/>
  <sheetViews>
    <sheetView tabSelected="1" workbookViewId="0">
      <selection activeCell="C2" sqref="C2"/>
    </sheetView>
  </sheetViews>
  <sheetFormatPr defaultRowHeight="14.5" x14ac:dyDescent="0.35"/>
  <cols>
    <col min="1" max="1" width="29.26953125" style="27" customWidth="1"/>
    <col min="3" max="3" width="41.08984375" bestFit="1" customWidth="1"/>
    <col min="4" max="4" width="28.7265625" customWidth="1"/>
  </cols>
  <sheetData>
    <row r="1" spans="3:5" x14ac:dyDescent="0.35">
      <c r="C1" s="1"/>
      <c r="D1" s="1"/>
      <c r="E1" s="1"/>
    </row>
    <row r="2" spans="3:5" x14ac:dyDescent="0.35">
      <c r="C2" s="1"/>
      <c r="D2" s="1"/>
      <c r="E2" s="1"/>
    </row>
    <row r="3" spans="3:5" ht="20" thickBot="1" x14ac:dyDescent="0.5">
      <c r="C3" s="2" t="s">
        <v>24</v>
      </c>
      <c r="D3" s="3"/>
      <c r="E3" s="3"/>
    </row>
    <row r="4" spans="3:5" ht="15" thickTop="1" x14ac:dyDescent="0.35">
      <c r="C4" s="4" t="s">
        <v>25</v>
      </c>
      <c r="D4" s="5"/>
      <c r="E4" s="5"/>
    </row>
    <row r="5" spans="3:5" x14ac:dyDescent="0.35">
      <c r="C5" s="1"/>
      <c r="D5" s="1"/>
      <c r="E5" s="1"/>
    </row>
    <row r="6" spans="3:5" ht="16.5" x14ac:dyDescent="0.45">
      <c r="C6" s="6" t="s">
        <v>26</v>
      </c>
      <c r="D6" s="7" t="s">
        <v>43</v>
      </c>
      <c r="E6" s="1"/>
    </row>
    <row r="7" spans="3:5" ht="16.5" x14ac:dyDescent="0.45">
      <c r="C7" s="6" t="s">
        <v>27</v>
      </c>
      <c r="D7" s="8" t="s">
        <v>42</v>
      </c>
      <c r="E7" s="1"/>
    </row>
    <row r="8" spans="3:5" ht="16.5" x14ac:dyDescent="0.45">
      <c r="C8" s="6" t="s">
        <v>28</v>
      </c>
      <c r="D8" s="9">
        <v>22383</v>
      </c>
      <c r="E8" s="1"/>
    </row>
    <row r="9" spans="3:5" ht="16.5" x14ac:dyDescent="0.45">
      <c r="C9" s="6" t="s">
        <v>29</v>
      </c>
      <c r="D9" s="10" t="s">
        <v>44</v>
      </c>
      <c r="E9" s="1"/>
    </row>
    <row r="10" spans="3:5" ht="16.5" x14ac:dyDescent="0.45">
      <c r="C10" s="6" t="s">
        <v>30</v>
      </c>
      <c r="D10" s="7" t="s">
        <v>45</v>
      </c>
      <c r="E10" s="1"/>
    </row>
    <row r="11" spans="3:5" ht="16.5" x14ac:dyDescent="0.45">
      <c r="C11" s="6" t="s">
        <v>31</v>
      </c>
      <c r="D11" s="7" t="s">
        <v>46</v>
      </c>
      <c r="E11" s="1"/>
    </row>
    <row r="12" spans="3:5" ht="16.5" x14ac:dyDescent="0.45">
      <c r="C12" s="6" t="s">
        <v>32</v>
      </c>
      <c r="D12" s="7" t="s">
        <v>46</v>
      </c>
      <c r="E12" s="1"/>
    </row>
    <row r="13" spans="3:5" ht="16.5" x14ac:dyDescent="0.45">
      <c r="C13" s="6" t="s">
        <v>33</v>
      </c>
      <c r="D13" s="11" t="s">
        <v>47</v>
      </c>
      <c r="E13" s="1"/>
    </row>
    <row r="14" spans="3:5" ht="16.5" x14ac:dyDescent="0.45">
      <c r="C14" s="6" t="s">
        <v>34</v>
      </c>
      <c r="D14" s="12">
        <v>9999999</v>
      </c>
      <c r="E14" s="1"/>
    </row>
    <row r="15" spans="3:5" ht="16.5" x14ac:dyDescent="0.45">
      <c r="C15" s="6" t="s">
        <v>35</v>
      </c>
      <c r="D15" s="13">
        <v>119999999999</v>
      </c>
      <c r="E15" s="1"/>
    </row>
    <row r="16" spans="3:5" ht="16.5" x14ac:dyDescent="0.45">
      <c r="C16" s="6" t="s">
        <v>36</v>
      </c>
      <c r="D16" s="14" t="s">
        <v>48</v>
      </c>
      <c r="E16" s="1"/>
    </row>
    <row r="17" spans="3:5" ht="16.5" x14ac:dyDescent="0.45">
      <c r="C17" s="6" t="s">
        <v>37</v>
      </c>
      <c r="D17" s="7" t="s">
        <v>38</v>
      </c>
      <c r="E17" s="1"/>
    </row>
    <row r="18" spans="3:5" ht="16.5" x14ac:dyDescent="0.45">
      <c r="C18" s="6" t="s">
        <v>39</v>
      </c>
      <c r="D18" s="7" t="s">
        <v>40</v>
      </c>
      <c r="E18" s="1"/>
    </row>
    <row r="19" spans="3:5" ht="16.5" x14ac:dyDescent="0.45">
      <c r="C19" s="6" t="s">
        <v>41</v>
      </c>
      <c r="D19" s="7" t="s">
        <v>40</v>
      </c>
      <c r="E19" s="1"/>
    </row>
    <row r="20" spans="3:5" x14ac:dyDescent="0.35">
      <c r="C20" s="1"/>
      <c r="D20" s="1"/>
      <c r="E20" s="1"/>
    </row>
    <row r="21" spans="3:5" x14ac:dyDescent="0.35">
      <c r="C21" s="1"/>
      <c r="D21" s="1"/>
      <c r="E21" s="1"/>
    </row>
    <row r="22" spans="3:5" x14ac:dyDescent="0.35">
      <c r="C22" s="1"/>
      <c r="D22" s="1"/>
      <c r="E22" s="1"/>
    </row>
    <row r="23" spans="3:5" x14ac:dyDescent="0.35">
      <c r="C23" s="1"/>
      <c r="D23" s="1"/>
      <c r="E23" s="1"/>
    </row>
  </sheetData>
  <mergeCells count="1">
    <mergeCell ref="C4:E4"/>
  </mergeCells>
  <dataValidations count="1">
    <dataValidation type="list" allowBlank="1" showInputMessage="1" showErrorMessage="1" sqref="D17:D19" xr:uid="{CAF3DA69-4553-4171-A3DE-45C60A38CC7F}">
      <formula1>"SIM,NÃO"</formula1>
    </dataValidation>
  </dataValidations>
  <hyperlinks>
    <hyperlink ref="D16" r:id="rId1" xr:uid="{18DE24C1-906E-4E1A-AA89-70FB5331D93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E2-CCC5-41CD-A96D-A77D998DAEB3}">
  <dimension ref="A1:E25"/>
  <sheetViews>
    <sheetView topLeftCell="A10" workbookViewId="0">
      <selection activeCell="D28" sqref="D28"/>
    </sheetView>
  </sheetViews>
  <sheetFormatPr defaultRowHeight="14.5" x14ac:dyDescent="0.35"/>
  <cols>
    <col min="1" max="1" width="28" style="27" customWidth="1"/>
    <col min="2" max="2" width="8.453125" customWidth="1"/>
    <col min="3" max="3" width="23.26953125" customWidth="1"/>
    <col min="4" max="4" width="49" customWidth="1"/>
    <col min="5" max="5" width="17.1796875" customWidth="1"/>
  </cols>
  <sheetData>
    <row r="1" spans="3:5" x14ac:dyDescent="0.35">
      <c r="C1" s="1"/>
      <c r="D1" s="1"/>
      <c r="E1" s="1"/>
    </row>
    <row r="2" spans="3:5" x14ac:dyDescent="0.35">
      <c r="C2" s="1"/>
      <c r="D2" s="1"/>
      <c r="E2" s="1"/>
    </row>
    <row r="3" spans="3:5" ht="20" thickBot="1" x14ac:dyDescent="0.5">
      <c r="C3" s="2" t="s">
        <v>49</v>
      </c>
      <c r="D3" s="3"/>
      <c r="E3" s="3"/>
    </row>
    <row r="4" spans="3:5" ht="15" thickTop="1" x14ac:dyDescent="0.35">
      <c r="C4" s="4" t="s">
        <v>50</v>
      </c>
      <c r="D4" s="5"/>
      <c r="E4" s="5"/>
    </row>
    <row r="5" spans="3:5" x14ac:dyDescent="0.35">
      <c r="C5" s="1"/>
      <c r="D5" s="1"/>
      <c r="E5" s="1"/>
    </row>
    <row r="6" spans="3:5" ht="16.5" x14ac:dyDescent="0.45">
      <c r="C6" s="15" t="s">
        <v>51</v>
      </c>
      <c r="D6" s="1"/>
      <c r="E6" s="1"/>
    </row>
    <row r="7" spans="3:5" ht="15.5" x14ac:dyDescent="0.35">
      <c r="C7" s="16">
        <f>SUM(D11,D16,D21)</f>
        <v>2600000</v>
      </c>
      <c r="D7" s="17"/>
      <c r="E7" s="1"/>
    </row>
    <row r="8" spans="3:5" x14ac:dyDescent="0.35">
      <c r="C8" s="1"/>
      <c r="D8" s="1"/>
      <c r="E8" s="1"/>
    </row>
    <row r="9" spans="3:5" x14ac:dyDescent="0.35">
      <c r="C9" s="18" t="s">
        <v>52</v>
      </c>
      <c r="D9" s="1"/>
      <c r="E9" s="1"/>
    </row>
    <row r="10" spans="3:5" ht="16.5" x14ac:dyDescent="0.45">
      <c r="C10" s="6" t="s">
        <v>53</v>
      </c>
      <c r="D10" s="7" t="s">
        <v>2</v>
      </c>
      <c r="E10" s="1"/>
    </row>
    <row r="11" spans="3:5" ht="16.5" x14ac:dyDescent="0.45">
      <c r="C11" s="6" t="s">
        <v>54</v>
      </c>
      <c r="D11" s="19">
        <v>800000</v>
      </c>
      <c r="E11" s="1"/>
    </row>
    <row r="12" spans="3:5" ht="16.5" x14ac:dyDescent="0.45">
      <c r="C12" s="6" t="s">
        <v>55</v>
      </c>
      <c r="D12" s="7" t="s">
        <v>58</v>
      </c>
      <c r="E12" s="1"/>
    </row>
    <row r="13" spans="3:5" x14ac:dyDescent="0.35">
      <c r="C13" s="1"/>
      <c r="D13" s="1"/>
      <c r="E13" s="1"/>
    </row>
    <row r="14" spans="3:5" x14ac:dyDescent="0.35">
      <c r="C14" s="18" t="s">
        <v>56</v>
      </c>
      <c r="D14" s="1"/>
      <c r="E14" s="1"/>
    </row>
    <row r="15" spans="3:5" ht="16.5" x14ac:dyDescent="0.45">
      <c r="C15" s="6" t="s">
        <v>53</v>
      </c>
      <c r="D15" s="7" t="s">
        <v>4</v>
      </c>
      <c r="E15" s="1"/>
    </row>
    <row r="16" spans="3:5" ht="16.5" x14ac:dyDescent="0.45">
      <c r="C16" s="6" t="s">
        <v>54</v>
      </c>
      <c r="D16" s="19">
        <v>1000000</v>
      </c>
      <c r="E16" s="1"/>
    </row>
    <row r="17" spans="3:5" ht="16.5" x14ac:dyDescent="0.45">
      <c r="C17" s="6" t="s">
        <v>55</v>
      </c>
      <c r="D17" s="7" t="s">
        <v>59</v>
      </c>
      <c r="E17" s="1"/>
    </row>
    <row r="18" spans="3:5" x14ac:dyDescent="0.35">
      <c r="C18" s="1"/>
      <c r="D18" s="1"/>
      <c r="E18" s="1"/>
    </row>
    <row r="19" spans="3:5" x14ac:dyDescent="0.35">
      <c r="C19" s="18" t="s">
        <v>57</v>
      </c>
      <c r="D19" s="1"/>
      <c r="E19" s="1"/>
    </row>
    <row r="20" spans="3:5" ht="16.5" x14ac:dyDescent="0.45">
      <c r="C20" s="6" t="s">
        <v>53</v>
      </c>
      <c r="D20" s="7" t="s">
        <v>3</v>
      </c>
      <c r="E20" s="1"/>
    </row>
    <row r="21" spans="3:5" ht="16.5" x14ac:dyDescent="0.45">
      <c r="C21" s="6" t="s">
        <v>54</v>
      </c>
      <c r="D21" s="19">
        <v>800000</v>
      </c>
      <c r="E21" s="1"/>
    </row>
    <row r="22" spans="3:5" ht="16.5" x14ac:dyDescent="0.45">
      <c r="C22" s="6" t="s">
        <v>55</v>
      </c>
      <c r="D22" s="7" t="s">
        <v>60</v>
      </c>
      <c r="E22" s="1"/>
    </row>
    <row r="23" spans="3:5" x14ac:dyDescent="0.35">
      <c r="C23" s="1"/>
      <c r="D23" s="1"/>
      <c r="E23" s="1"/>
    </row>
    <row r="24" spans="3:5" x14ac:dyDescent="0.35">
      <c r="C24" s="1"/>
      <c r="D24" s="1"/>
      <c r="E24" s="1"/>
    </row>
    <row r="25" spans="3:5" x14ac:dyDescent="0.35">
      <c r="C25" s="1"/>
      <c r="D25" s="1"/>
      <c r="E25" s="1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649525-6B9B-4A2D-8DA2-C34DC26A0AE7}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28BA-6E0D-43F6-A816-B903713DCFB0}">
  <dimension ref="A1:E27"/>
  <sheetViews>
    <sheetView topLeftCell="A10" workbookViewId="0">
      <selection activeCell="C1" sqref="C1"/>
    </sheetView>
  </sheetViews>
  <sheetFormatPr defaultRowHeight="14.5" x14ac:dyDescent="0.35"/>
  <cols>
    <col min="1" max="1" width="28" style="27" customWidth="1"/>
    <col min="3" max="3" width="58.90625" bestFit="1" customWidth="1"/>
    <col min="4" max="4" width="16.7265625" bestFit="1" customWidth="1"/>
    <col min="5" max="5" width="12.08984375" bestFit="1" customWidth="1"/>
  </cols>
  <sheetData>
    <row r="1" spans="3:5" x14ac:dyDescent="0.35">
      <c r="C1" s="1"/>
      <c r="D1" s="1"/>
      <c r="E1" s="1"/>
    </row>
    <row r="2" spans="3:5" x14ac:dyDescent="0.35">
      <c r="C2" s="1"/>
      <c r="D2" s="1"/>
      <c r="E2" s="1"/>
    </row>
    <row r="3" spans="3:5" ht="20" thickBot="1" x14ac:dyDescent="0.5">
      <c r="C3" s="2" t="s">
        <v>61</v>
      </c>
      <c r="D3" s="3"/>
      <c r="E3" s="3"/>
    </row>
    <row r="4" spans="3:5" ht="15" thickTop="1" x14ac:dyDescent="0.35">
      <c r="C4" s="4" t="s">
        <v>62</v>
      </c>
      <c r="D4" s="5"/>
      <c r="E4" s="5"/>
    </row>
    <row r="5" spans="3:5" x14ac:dyDescent="0.35">
      <c r="C5" s="1"/>
      <c r="D5" s="1"/>
      <c r="E5" s="1"/>
    </row>
    <row r="6" spans="3:5" x14ac:dyDescent="0.35">
      <c r="C6" s="1"/>
      <c r="D6" s="1"/>
      <c r="E6" s="1"/>
    </row>
    <row r="7" spans="3:5" ht="16.5" x14ac:dyDescent="0.45">
      <c r="C7" s="20" t="s">
        <v>63</v>
      </c>
      <c r="D7" s="20"/>
      <c r="E7" s="20"/>
    </row>
    <row r="8" spans="3:5" ht="16.5" x14ac:dyDescent="0.45">
      <c r="C8" s="21" t="s">
        <v>64</v>
      </c>
      <c r="D8" s="22" t="s">
        <v>65</v>
      </c>
      <c r="E8" s="22" t="s">
        <v>66</v>
      </c>
    </row>
    <row r="9" spans="3:5" ht="16.5" x14ac:dyDescent="0.45">
      <c r="C9" s="23">
        <v>46023</v>
      </c>
      <c r="D9" s="24" t="s">
        <v>67</v>
      </c>
      <c r="E9" s="25">
        <v>5000</v>
      </c>
    </row>
    <row r="10" spans="3:5" ht="16.5" x14ac:dyDescent="0.45">
      <c r="C10" s="26">
        <v>46054</v>
      </c>
      <c r="D10" s="24" t="s">
        <v>67</v>
      </c>
      <c r="E10" s="25">
        <v>5000</v>
      </c>
    </row>
    <row r="11" spans="3:5" ht="16.5" x14ac:dyDescent="0.45">
      <c r="C11" s="23">
        <v>46082</v>
      </c>
      <c r="D11" s="24" t="s">
        <v>67</v>
      </c>
      <c r="E11" s="25">
        <v>5000</v>
      </c>
    </row>
    <row r="12" spans="3:5" ht="16.5" x14ac:dyDescent="0.45">
      <c r="C12" s="26">
        <v>46113</v>
      </c>
      <c r="D12" s="24" t="s">
        <v>67</v>
      </c>
      <c r="E12" s="25">
        <v>5000</v>
      </c>
    </row>
    <row r="13" spans="3:5" ht="16.5" x14ac:dyDescent="0.45">
      <c r="C13" s="23">
        <v>46143</v>
      </c>
      <c r="D13" s="24" t="s">
        <v>67</v>
      </c>
      <c r="E13" s="25">
        <v>5000</v>
      </c>
    </row>
    <row r="14" spans="3:5" ht="16.5" x14ac:dyDescent="0.45">
      <c r="C14" s="26">
        <v>46174</v>
      </c>
      <c r="D14" s="24" t="s">
        <v>67</v>
      </c>
      <c r="E14" s="25">
        <v>5000</v>
      </c>
    </row>
    <row r="15" spans="3:5" ht="16.5" x14ac:dyDescent="0.45">
      <c r="C15" s="23">
        <v>46204</v>
      </c>
      <c r="D15" s="24" t="s">
        <v>67</v>
      </c>
      <c r="E15" s="25">
        <v>5000</v>
      </c>
    </row>
    <row r="16" spans="3:5" ht="16.5" x14ac:dyDescent="0.45">
      <c r="C16" s="26">
        <v>46235</v>
      </c>
      <c r="D16" s="24" t="s">
        <v>67</v>
      </c>
      <c r="E16" s="25">
        <v>5000</v>
      </c>
    </row>
    <row r="17" spans="3:5" ht="16.5" x14ac:dyDescent="0.45">
      <c r="C17" s="23">
        <v>46266</v>
      </c>
      <c r="D17" s="24" t="s">
        <v>67</v>
      </c>
      <c r="E17" s="25">
        <v>5000</v>
      </c>
    </row>
    <row r="18" spans="3:5" ht="16.5" x14ac:dyDescent="0.45">
      <c r="C18" s="26">
        <v>46296</v>
      </c>
      <c r="D18" s="24" t="s">
        <v>67</v>
      </c>
      <c r="E18" s="25">
        <v>5000</v>
      </c>
    </row>
    <row r="19" spans="3:5" ht="16.5" x14ac:dyDescent="0.45">
      <c r="C19" s="23">
        <v>46327</v>
      </c>
      <c r="D19" s="24" t="s">
        <v>67</v>
      </c>
      <c r="E19" s="25">
        <v>5000</v>
      </c>
    </row>
    <row r="20" spans="3:5" ht="16.5" x14ac:dyDescent="0.45">
      <c r="C20" s="26">
        <v>46357</v>
      </c>
      <c r="D20" s="24" t="s">
        <v>67</v>
      </c>
      <c r="E20" s="25">
        <v>5000</v>
      </c>
    </row>
    <row r="21" spans="3:5" ht="16.5" x14ac:dyDescent="0.45">
      <c r="C21" s="26">
        <v>46023</v>
      </c>
      <c r="D21" s="24" t="s">
        <v>68</v>
      </c>
      <c r="E21" s="25">
        <v>1000</v>
      </c>
    </row>
    <row r="22" spans="3:5" ht="16.5" x14ac:dyDescent="0.45">
      <c r="C22" s="26">
        <v>46082</v>
      </c>
      <c r="D22" s="24" t="s">
        <v>68</v>
      </c>
      <c r="E22" s="25">
        <v>2000</v>
      </c>
    </row>
    <row r="23" spans="3:5" ht="16.5" x14ac:dyDescent="0.45">
      <c r="C23" s="26">
        <v>46143</v>
      </c>
      <c r="D23" s="24" t="s">
        <v>68</v>
      </c>
      <c r="E23" s="25">
        <v>3000</v>
      </c>
    </row>
    <row r="24" spans="3:5" ht="16.5" x14ac:dyDescent="0.45">
      <c r="C24" s="26">
        <v>46204</v>
      </c>
      <c r="D24" s="24" t="s">
        <v>68</v>
      </c>
      <c r="E24" s="25">
        <v>1500</v>
      </c>
    </row>
    <row r="25" spans="3:5" ht="16.5" x14ac:dyDescent="0.45">
      <c r="C25" s="26">
        <v>46266</v>
      </c>
      <c r="D25" s="24" t="s">
        <v>68</v>
      </c>
      <c r="E25" s="25">
        <v>2500</v>
      </c>
    </row>
    <row r="26" spans="3:5" ht="16.5" x14ac:dyDescent="0.45">
      <c r="C26" s="26">
        <v>46327</v>
      </c>
      <c r="D26" s="24" t="s">
        <v>68</v>
      </c>
      <c r="E26" s="25">
        <v>3500</v>
      </c>
    </row>
    <row r="27" spans="3:5" ht="16.5" x14ac:dyDescent="0.45">
      <c r="C27" s="26">
        <v>46388</v>
      </c>
      <c r="D27" s="24" t="s">
        <v>68</v>
      </c>
      <c r="E27" s="25">
        <v>7000</v>
      </c>
    </row>
  </sheetData>
  <mergeCells count="2">
    <mergeCell ref="C4:E4"/>
    <mergeCell ref="C7:E7"/>
  </mergeCells>
  <dataValidations count="1">
    <dataValidation type="list" allowBlank="1" showInputMessage="1" showErrorMessage="1" sqref="D9:D27" xr:uid="{C251AAA1-0398-4648-92CB-CB0FBFCD90F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DA6A-B30E-4082-942A-3355FFC4E46B}">
  <dimension ref="A1:A51"/>
  <sheetViews>
    <sheetView topLeftCell="A34" workbookViewId="0">
      <selection activeCell="A2" sqref="A2"/>
    </sheetView>
  </sheetViews>
  <sheetFormatPr defaultRowHeight="14.5" x14ac:dyDescent="0.35"/>
  <cols>
    <col min="1" max="1" width="50.08984375" bestFit="1" customWidth="1"/>
  </cols>
  <sheetData>
    <row r="1" spans="1:1" x14ac:dyDescent="0.35">
      <c r="A1" s="1" t="s">
        <v>97</v>
      </c>
    </row>
    <row r="2" spans="1:1" x14ac:dyDescent="0.35">
      <c r="A2" s="1" t="s">
        <v>69</v>
      </c>
    </row>
    <row r="3" spans="1:1" x14ac:dyDescent="0.35">
      <c r="A3" s="1" t="s">
        <v>70</v>
      </c>
    </row>
    <row r="4" spans="1:1" x14ac:dyDescent="0.35">
      <c r="A4" s="1" t="s">
        <v>1</v>
      </c>
    </row>
    <row r="5" spans="1:1" x14ac:dyDescent="0.35">
      <c r="A5" s="1" t="s">
        <v>71</v>
      </c>
    </row>
    <row r="6" spans="1:1" x14ac:dyDescent="0.35">
      <c r="A6" s="1" t="s">
        <v>72</v>
      </c>
    </row>
    <row r="7" spans="1:1" x14ac:dyDescent="0.35">
      <c r="A7" s="1" t="s">
        <v>73</v>
      </c>
    </row>
    <row r="8" spans="1:1" x14ac:dyDescent="0.35">
      <c r="A8" s="1" t="s">
        <v>74</v>
      </c>
    </row>
    <row r="9" spans="1:1" x14ac:dyDescent="0.35">
      <c r="A9" s="1" t="s">
        <v>0</v>
      </c>
    </row>
    <row r="10" spans="1:1" x14ac:dyDescent="0.35">
      <c r="A10" s="1" t="s">
        <v>75</v>
      </c>
    </row>
    <row r="11" spans="1:1" x14ac:dyDescent="0.35">
      <c r="A11" s="1" t="s">
        <v>76</v>
      </c>
    </row>
    <row r="12" spans="1:1" x14ac:dyDescent="0.35">
      <c r="A12" s="1" t="s">
        <v>77</v>
      </c>
    </row>
    <row r="13" spans="1:1" x14ac:dyDescent="0.35">
      <c r="A13" s="1" t="s">
        <v>78</v>
      </c>
    </row>
    <row r="14" spans="1:1" x14ac:dyDescent="0.35">
      <c r="A14" s="1" t="s">
        <v>79</v>
      </c>
    </row>
    <row r="15" spans="1:1" x14ac:dyDescent="0.35">
      <c r="A15" s="1" t="s">
        <v>80</v>
      </c>
    </row>
    <row r="16" spans="1:1" x14ac:dyDescent="0.35">
      <c r="A16" s="1" t="s">
        <v>81</v>
      </c>
    </row>
    <row r="17" spans="1:1" x14ac:dyDescent="0.35">
      <c r="A17" s="1" t="s">
        <v>82</v>
      </c>
    </row>
    <row r="18" spans="1:1" x14ac:dyDescent="0.35">
      <c r="A18" s="1" t="s">
        <v>19</v>
      </c>
    </row>
    <row r="19" spans="1:1" x14ac:dyDescent="0.35">
      <c r="A19" s="1" t="s">
        <v>83</v>
      </c>
    </row>
    <row r="20" spans="1:1" x14ac:dyDescent="0.35">
      <c r="A20" s="1" t="s">
        <v>84</v>
      </c>
    </row>
    <row r="21" spans="1:1" x14ac:dyDescent="0.35">
      <c r="A21" s="1" t="s">
        <v>85</v>
      </c>
    </row>
    <row r="22" spans="1:1" x14ac:dyDescent="0.35">
      <c r="A22" s="1" t="s">
        <v>86</v>
      </c>
    </row>
    <row r="23" spans="1:1" x14ac:dyDescent="0.35">
      <c r="A23" s="1" t="s">
        <v>87</v>
      </c>
    </row>
    <row r="24" spans="1:1" x14ac:dyDescent="0.35">
      <c r="A24" s="1" t="s">
        <v>88</v>
      </c>
    </row>
    <row r="25" spans="1:1" x14ac:dyDescent="0.35">
      <c r="A25" s="1" t="s">
        <v>89</v>
      </c>
    </row>
    <row r="26" spans="1:1" x14ac:dyDescent="0.35">
      <c r="A26" s="1" t="s">
        <v>90</v>
      </c>
    </row>
    <row r="27" spans="1:1" x14ac:dyDescent="0.35">
      <c r="A27" s="1" t="s">
        <v>91</v>
      </c>
    </row>
    <row r="28" spans="1:1" x14ac:dyDescent="0.35">
      <c r="A28" s="1" t="s">
        <v>92</v>
      </c>
    </row>
    <row r="29" spans="1:1" x14ac:dyDescent="0.35">
      <c r="A29" s="1" t="s">
        <v>93</v>
      </c>
    </row>
    <row r="30" spans="1:1" x14ac:dyDescent="0.35">
      <c r="A30" s="1" t="s">
        <v>94</v>
      </c>
    </row>
    <row r="31" spans="1:1" x14ac:dyDescent="0.35">
      <c r="A31" s="1" t="s">
        <v>95</v>
      </c>
    </row>
    <row r="32" spans="1:1" x14ac:dyDescent="0.35">
      <c r="A32" s="1" t="s">
        <v>96</v>
      </c>
    </row>
    <row r="33" spans="1:1" x14ac:dyDescent="0.35">
      <c r="A33" s="1" t="s">
        <v>5</v>
      </c>
    </row>
    <row r="34" spans="1:1" x14ac:dyDescent="0.35">
      <c r="A34" s="1" t="s">
        <v>6</v>
      </c>
    </row>
    <row r="35" spans="1:1" x14ac:dyDescent="0.35">
      <c r="A35" s="1" t="s">
        <v>7</v>
      </c>
    </row>
    <row r="36" spans="1:1" x14ac:dyDescent="0.35">
      <c r="A36" s="1" t="s">
        <v>8</v>
      </c>
    </row>
    <row r="37" spans="1:1" x14ac:dyDescent="0.35">
      <c r="A37" s="1" t="s">
        <v>9</v>
      </c>
    </row>
    <row r="38" spans="1:1" x14ac:dyDescent="0.35">
      <c r="A38" s="1" t="s">
        <v>10</v>
      </c>
    </row>
    <row r="39" spans="1:1" x14ac:dyDescent="0.35">
      <c r="A39" s="1" t="s">
        <v>11</v>
      </c>
    </row>
    <row r="40" spans="1:1" x14ac:dyDescent="0.35">
      <c r="A40" s="1" t="s">
        <v>12</v>
      </c>
    </row>
    <row r="41" spans="1:1" x14ac:dyDescent="0.35">
      <c r="A41" s="1" t="s">
        <v>13</v>
      </c>
    </row>
    <row r="42" spans="1:1" x14ac:dyDescent="0.35">
      <c r="A42" s="1" t="s">
        <v>14</v>
      </c>
    </row>
    <row r="43" spans="1:1" x14ac:dyDescent="0.35">
      <c r="A43" s="1" t="s">
        <v>15</v>
      </c>
    </row>
    <row r="44" spans="1:1" x14ac:dyDescent="0.35">
      <c r="A44" s="1" t="s">
        <v>16</v>
      </c>
    </row>
    <row r="45" spans="1:1" x14ac:dyDescent="0.35">
      <c r="A45" s="1" t="s">
        <v>17</v>
      </c>
    </row>
    <row r="46" spans="1:1" x14ac:dyDescent="0.35">
      <c r="A46" s="1" t="s">
        <v>18</v>
      </c>
    </row>
    <row r="47" spans="1:1" x14ac:dyDescent="0.35">
      <c r="A47" s="1" t="s">
        <v>19</v>
      </c>
    </row>
    <row r="48" spans="1:1" x14ac:dyDescent="0.35">
      <c r="A48" s="1" t="s">
        <v>20</v>
      </c>
    </row>
    <row r="49" spans="1:1" x14ac:dyDescent="0.35">
      <c r="A49" s="1" t="s">
        <v>21</v>
      </c>
    </row>
    <row r="50" spans="1:1" x14ac:dyDescent="0.35">
      <c r="A50" s="1" t="s">
        <v>22</v>
      </c>
    </row>
    <row r="51" spans="1:1" x14ac:dyDescent="0.35">
      <c r="A51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Bins</dc:creator>
  <cp:lastModifiedBy>Bins</cp:lastModifiedBy>
  <dcterms:created xsi:type="dcterms:W3CDTF">2026-10-18T02:31:56Z</dcterms:created>
  <dcterms:modified xsi:type="dcterms:W3CDTF">2026-10-18T03:15:53Z</dcterms:modified>
</cp:coreProperties>
</file>